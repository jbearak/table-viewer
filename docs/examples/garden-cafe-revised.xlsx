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4ea7af46a497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Welcome" sheetId="1" r:id="R82d2f31408434143"/>
    <sheet xmlns:r="http://schemas.openxmlformats.org/officeDocument/2006/relationships" name="Fruit Stand" sheetId="2" r:id="R99509332bcae4549"/>
    <sheet xmlns:r="http://schemas.openxmlformats.org/officeDocument/2006/relationships" name="Vegetable Patch" sheetId="3" r:id="Rf8e2db9434f2437e"/>
    <sheet xmlns:r="http://schemas.openxmlformats.org/officeDocument/2006/relationships" name="Coffee Shelf" sheetId="4" r:id="R38a6536167f44b05"/>
    <sheet xmlns:r="http://schemas.openxmlformats.org/officeDocument/2006/relationships" name="Berry Corner" sheetId="5" r:id="R6740e6f7ba484b00"/>
    <sheet xmlns:r="http://schemas.openxmlformats.org/officeDocument/2006/relationships" name="Citrus Cart" sheetId="6" r:id="R5267ca70a32b4ca9"/>
    <sheet xmlns:r="http://schemas.openxmlformats.org/officeDocument/2006/relationships" name="Herb Window" sheetId="7" r:id="Rca22a9e4a3714f0d"/>
    <sheet xmlns:r="http://schemas.openxmlformats.org/officeDocument/2006/relationships" name="Tea Trolley" sheetId="8" r:id="R4471099e62d840f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$0.00"/>
    <numFmt numFmtId="201" formatCode="$#,##0.00"/>
  </numFmts>
  <fonts count="6">
    <font>
      <sz val="11"/>
      <name val="Carlito"/>
    </font>
    <font>
      <b/>
      <sz val="18"/>
      <color rgb="FFFFFFFF"/>
      <name val="Aptos Display"/>
    </font>
    <font>
      <i/>
      <sz val="11"/>
      <color rgb="FF26352D"/>
      <name val="Aptos"/>
    </font>
    <font>
      <b/>
      <sz val="11"/>
      <color rgb="FF26352D"/>
      <name val="Aptos"/>
    </font>
    <font>
      <sz val="11"/>
      <color rgb="FF26352D"/>
      <name val="Aptos"/>
    </font>
    <font>
      <b/>
      <sz val="11"/>
      <color rgb="FFFFFFFF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2F6B4F"/>
      </patternFill>
    </fill>
    <fill>
      <patternFill patternType="solid">
        <fgColor rgb="FFFFF9EC"/>
      </patternFill>
    </fill>
    <fill>
      <patternFill patternType="solid">
        <fgColor rgb="FFE7B75F"/>
      </patternFill>
    </fill>
    <fill>
      <patternFill patternType="solid">
        <fgColor rgb="FFE8F2EB"/>
      </patternFill>
    </fill>
  </fills>
  <borders count="7">
    <border/>
    <border>
      <bottom style="thin">
        <color rgb="FFD7E2DA"/>
      </bottom>
    </border>
    <border>
      <top style="thin">
        <color rgb="FFD7E2DA"/>
      </top>
      <bottom style="thin">
        <color rgb="FFD7E2DA"/>
      </bottom>
    </border>
    <border>
      <top style="thin">
        <color rgb="FFD7E2DA"/>
      </top>
    </border>
    <border>
      <left style="thin">
        <color rgb="FF2F6B4F"/>
      </left>
      <top style="thin">
        <color rgb="FF2F6B4F"/>
      </top>
      <bottom style="thin">
        <color rgb="FF2F6B4F"/>
      </bottom>
    </border>
    <border>
      <top style="thin">
        <color rgb="FF2F6B4F"/>
      </top>
      <bottom style="thin">
        <color rgb="FF2F6B4F"/>
      </bottom>
    </border>
    <border>
      <right style="thin">
        <color rgb="FF2F6B4F"/>
      </right>
      <top style="thin">
        <color rgb="FF2F6B4F"/>
      </top>
      <bottom style="thin">
        <color rgb="FF2F6B4F"/>
      </bottom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vertical="center"/>
    </xf>
    <xf numFmtId="0" fontId="4" fillId="0" borderId="0" xfId="0" applyNumberFormat="1" applyFont="1" applyFill="1" applyBorder="1"/>
    <xf numFmtId="0" fontId="4" fillId="2" borderId="0" xfId="0" applyNumberFormat="1" applyFont="1" applyFill="1" applyBorder="1"/>
    <xf numFmtId="0" fontId="5" fillId="2" borderId="0" xfId="0" applyNumberFormat="1" applyFont="1" applyFill="1" applyBorder="1"/>
    <xf numFmtId="0" fontId="5" fillId="2" borderId="4" xfId="0" applyNumberFormat="1" applyFont="1" applyFill="1" applyBorder="1"/>
    <xf numFmtId="0" fontId="5" fillId="2" borderId="5" xfId="0" applyNumberFormat="1" applyFont="1" applyFill="1" applyBorder="1"/>
    <xf numFmtId="0" fontId="5" fillId="2" borderId="6" xfId="0" applyNumberFormat="1" applyFont="1" applyFill="1" applyBorder="1"/>
    <xf numFmtId="0" fontId="5" fillId="2" borderId="4" xfId="0" applyNumberFormat="1" applyFont="1" applyFill="1" applyBorder="1" applyAlignment="1">
      <alignment vertical="center"/>
    </xf>
    <xf numFmtId="0" fontId="5" fillId="2" borderId="5" xfId="0" applyNumberFormat="1" applyFont="1" applyFill="1" applyBorder="1" applyAlignment="1">
      <alignment vertical="center"/>
    </xf>
    <xf numFmtId="0" fontId="5" fillId="2" borderId="6" xfId="0" applyNumberFormat="1" applyFont="1" applyFill="1" applyBorder="1" applyAlignment="1">
      <alignment vertical="center"/>
    </xf>
    <xf numFmtId="0" fontId="4" fillId="0" borderId="1" xfId="0" applyNumberFormat="1" applyFont="1" applyFill="1" applyBorder="1"/>
    <xf numFmtId="0" fontId="4" fillId="0" borderId="2" xfId="0" applyNumberFormat="1" applyFont="1" applyFill="1" applyBorder="1"/>
    <xf numFmtId="0" fontId="4" fillId="0" borderId="3" xfId="0" applyNumberFormat="1" applyFont="1" applyFill="1" applyBorder="1"/>
    <xf numFmtId="200" fontId="4" fillId="0" borderId="1" xfId="0" applyNumberFormat="1" applyFont="1" applyFill="1" applyBorder="1"/>
    <xf numFmtId="200" fontId="4" fillId="0" borderId="2" xfId="0" applyNumberFormat="1" applyFont="1" applyFill="1" applyBorder="1"/>
    <xf numFmtId="200" fontId="4" fillId="0" borderId="3" xfId="0" applyNumberFormat="1" applyFont="1" applyFill="1" applyBorder="1"/>
    <xf numFmtId="201" fontId="4" fillId="0" borderId="1" xfId="0" applyNumberFormat="1" applyFont="1" applyFill="1" applyBorder="1"/>
    <xf numFmtId="201" fontId="4" fillId="0" borderId="2" xfId="0" applyNumberFormat="1" applyFont="1" applyFill="1" applyBorder="1"/>
    <xf numFmtId="201" fontId="4" fillId="0" borderId="3" xfId="0" applyNumberFormat="1" applyFont="1" applyFill="1" applyBorder="1"/>
    <xf numFmtId="201" fontId="4" fillId="5" borderId="1" xfId="0" applyNumberFormat="1" applyFont="1" applyFill="1" applyBorder="1"/>
    <xf numFmtId="201" fontId="4" fillId="5" borderId="2" xfId="0" applyNumberFormat="1" applyFont="1" applyFill="1" applyBorder="1"/>
    <xf numFmtId="201" fontId="4" fillId="5" borderId="3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6b19b7dd84613" /><Relationship Type="http://schemas.openxmlformats.org/officeDocument/2006/relationships/theme" Target="/xl/theme/theme1.xml" Id="R8ad41b2df4014e79" /><Relationship Type="http://schemas.openxmlformats.org/officeDocument/2006/relationships/sharedStrings" Target="/xl/sharedStrings.xml" Id="R85c57f3894f2489b" /><Relationship Type="http://schemas.openxmlformats.org/officeDocument/2006/relationships/worksheet" Target="/xl/worksheets/sheet1.xml" Id="R82d2f31408434143" /><Relationship Type="http://schemas.openxmlformats.org/officeDocument/2006/relationships/worksheet" Target="/xl/worksheets/sheet2.xml" Id="R99509332bcae4549" /><Relationship Type="http://schemas.openxmlformats.org/officeDocument/2006/relationships/worksheet" Target="/xl/worksheets/sheet3.xml" Id="Rf8e2db9434f2437e" /><Relationship Type="http://schemas.openxmlformats.org/officeDocument/2006/relationships/worksheet" Target="/xl/worksheets/sheet4.xml" Id="R38a6536167f44b05" /><Relationship Type="http://schemas.openxmlformats.org/officeDocument/2006/relationships/worksheet" Target="/xl/worksheets/sheet5.xml" Id="R6740e6f7ba484b00" /><Relationship Type="http://schemas.openxmlformats.org/officeDocument/2006/relationships/worksheet" Target="/xl/worksheets/sheet6.xml" Id="R5267ca70a32b4ca9" /><Relationship Type="http://schemas.openxmlformats.org/officeDocument/2006/relationships/worksheet" Target="/xl/worksheets/sheet7.xml" Id="Rca22a9e4a3714f0d" /><Relationship Type="http://schemas.openxmlformats.org/officeDocument/2006/relationships/worksheet" Target="/xl/worksheets/sheet8.xml" Id="R4471099e62d840f4" /></Relationships>
</file>

<file path=xl/tables/table1.xml><?xml version="1.0" encoding="utf-8"?>
<table xmlns="http://schemas.openxmlformats.org/spreadsheetml/2006/main" id="1" name="FruitStandTable" displayName="FruitStandTable" ref="A1:I15" headerRowCount="1" totalsRowCount="0" totalsRowShown="0">
  <autoFilter ref="A1:I15"/>
  <tableColumns count="9">
    <tableColumn id="1" name="Fruit"/>
    <tableColumn id="2" name="Variety"/>
    <tableColumn id="3" name="Color"/>
    <tableColumn id="4" name="Peak Season"/>
    <tableColumn id="5" name="Crates"/>
    <tableColumn id="6" name="Price / lb"/>
    <tableColumn id="7" name="Sweetness"/>
    <tableColumn id="8" name="Favorite Pairing"/>
    <tableColumn id="9" name="Shelf Valu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VegetablePatchTable" displayName="VegetablePatchTable" ref="A1:I15" headerRowCount="1" totalsRowCount="0" totalsRowShown="0">
  <autoFilter ref="A1:I15"/>
  <tableColumns count="9">
    <tableColumn id="1" name="Vegetable"/>
    <tableColumn id="2" name="Variety"/>
    <tableColumn id="3" name="Family"/>
    <tableColumn id="4" name="Color"/>
    <tableColumn id="5" name="Baskets"/>
    <tableColumn id="6" name="Price / basket"/>
    <tableColumn id="7" name="Crunch"/>
    <tableColumn id="8" name="Best Use"/>
    <tableColumn id="9" name="Shelf Valu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offeeShelfTable" displayName="CoffeeShelfTable" ref="A1:I15" headerRowCount="1" totalsRowCount="0" totalsRowShown="0">
  <autoFilter ref="A1:I15"/>
  <tableColumns count="9">
    <tableColumn id="1" name="Coffee"/>
    <tableColumn id="2" name="Origin"/>
    <tableColumn id="3" name="Roast"/>
    <tableColumn id="4" name="Process"/>
    <tableColumn id="5" name="Elevation (m)"/>
    <tableColumn id="6" name="Bags"/>
    <tableColumn id="7" name="Price / bag"/>
    <tableColumn id="8" name="Tasting Note"/>
    <tableColumn id="9" name="Shelf Valu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BerryCornerTable" displayName="BerryCornerTable" ref="A1:I11" headerRowCount="1" totalsRowCount="0" totalsRowShown="0">
  <autoFilter ref="A1:I11"/>
  <tableColumns count="9">
    <tableColumn id="1" name="Berry"/>
    <tableColumn id="2" name="Variety"/>
    <tableColumn id="3" name="Color"/>
    <tableColumn id="4" name="Peak Month"/>
    <tableColumn id="5" name="Punnets"/>
    <tableColumn id="6" name="Price / punnet"/>
    <tableColumn id="7" name="Jam Score"/>
    <tableColumn id="8" name="Notes"/>
    <tableColumn id="9" name="Shelf Valu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CitrusCartTable" displayName="CitrusCartTable" ref="A1:I11" headerRowCount="1" totalsRowCount="0" totalsRowShown="0">
  <autoFilter ref="A1:I11"/>
  <tableColumns count="9">
    <tableColumn id="1" name="Citrus"/>
    <tableColumn id="2" name="Variety"/>
    <tableColumn id="3" name="Color"/>
    <tableColumn id="4" name="Origin"/>
    <tableColumn id="5" name="Boxes"/>
    <tableColumn id="6" name="Price / box"/>
    <tableColumn id="7" name="Zest Level"/>
    <tableColumn id="8" name="Best Use"/>
    <tableColumn id="9" name="Shelf Valu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bWindowTable" displayName="HerbWindowTable" ref="A1:I11" headerRowCount="1" totalsRowCount="0" totalsRowShown="0">
  <autoFilter ref="A1:I11"/>
  <tableColumns count="9">
    <tableColumn id="1" name="Herb"/>
    <tableColumn id="2" name="Variety"/>
    <tableColumn id="3" name="Type"/>
    <tableColumn id="4" name="Aroma"/>
    <tableColumn id="5" name="Pots"/>
    <tableColumn id="6" name="Price / pot"/>
    <tableColumn id="7" name="Sun"/>
    <tableColumn id="8" name="Favorite Dish"/>
    <tableColumn id="9" name="Shelf Valu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eaTrolleyTable" displayName="TeaTrolleyTable" ref="A1:I11" headerRowCount="1" totalsRowCount="0" totalsRowShown="0">
  <autoFilter ref="A1:I11"/>
  <tableColumns count="9">
    <tableColumn id="1" name="Tea"/>
    <tableColumn id="2" name="Style"/>
    <tableColumn id="3" name="Origin"/>
    <tableColumn id="4" name="Oxidation"/>
    <tableColumn id="5" name="Tins"/>
    <tableColumn id="6" name="Price / tin"/>
    <tableColumn id="7" name="Steep °F"/>
    <tableColumn id="8" name="Companion"/>
    <tableColumn id="9" name="Shelf 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9a98c31ad246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4af472e90d46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29c709f32346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26156112564d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f8b69a973b42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1e8c750e9a47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7824ad353f4763" /></Relationships>
</file>

<file path=xl/worksheets/sheet1.xml><?xml version="1.0" encoding="utf-8"?>
<worksheet xmlns="http://schemas.openxmlformats.org/spreadsheetml/2006/main">
  <sheetFormatPr defaultRowHeight="15"/>
  <cols>
    <col min="1" max="1" width="21" hidden="0" customWidth="1"/>
    <col min="2" max="2" width="24" hidden="0" customWidth="1"/>
    <col min="3" max="3" width="58" hidden="0" customWidth="1"/>
    <col min="4" max="4" width="10" hidden="0" customWidth="1"/>
  </cols>
  <sheetData>
    <row r="1" ht="38" customHeight="1">
      <c r="A1" s="3" t="str">
        <v>Garden Café — revised delivery</v>
      </c>
      <c r="B1" s="3"/>
      <c r="C1" s="3"/>
      <c r="D1" s="3"/>
    </row>
    <row r="2" ht="34" customHeight="1">
      <c r="A2" s="7" t="str">
        <v>Quantities, prices, and one row order changed. Your Table Viewer layout can stay put.</v>
      </c>
      <c r="B2" s="7"/>
      <c r="C2" s="7"/>
      <c r="D2" s="7"/>
    </row>
    <row r="3">
      <c r="A3" s="13"/>
      <c r="B3" s="13"/>
      <c r="C3" s="13"/>
      <c r="D3" s="13"/>
    </row>
    <row r="4" ht="26" customHeight="1">
      <c r="A4" s="14" t="str">
        <v>Sheet</v>
      </c>
      <c r="B4" s="14" t="str">
        <v>What is inside</v>
      </c>
      <c r="C4" s="14" t="str">
        <v>A small thing to try</v>
      </c>
      <c r="D4" s="14" t="str">
        <v>Rows</v>
      </c>
    </row>
    <row r="5">
      <c r="A5" s="15" t="str">
        <v>Fruit Stand</v>
      </c>
      <c r="B5" s="15" t="str">
        <v>14 friendly records</v>
      </c>
      <c r="C5" s="15" t="str">
        <v>Sort by Sweetness, filter by Color, and hide Favorite Pairing.</v>
      </c>
      <c r="D5" s="15" t="n">
        <v>14</v>
      </c>
    </row>
    <row r="6">
      <c r="A6" s="16" t="str">
        <v>Vegetable Patch</v>
      </c>
      <c r="B6" s="16" t="str">
        <v>14 friendly records</v>
      </c>
      <c r="C6" s="16" t="str">
        <v>Highlight the Best Use column and compare Basket Value.</v>
      </c>
      <c r="D6" s="16" t="n">
        <v>14</v>
      </c>
    </row>
    <row r="7">
      <c r="A7" s="16" t="str">
        <v>Coffee Shelf</v>
      </c>
      <c r="B7" s="16" t="str">
        <v>14 friendly records</v>
      </c>
      <c r="C7" s="16" t="str">
        <v>Filter to Light roasts and sort Price / bag from low to high.</v>
      </c>
      <c r="D7" s="16" t="n">
        <v>14</v>
      </c>
    </row>
    <row r="8">
      <c r="A8" s="16" t="str">
        <v>Berry Corner</v>
      </c>
      <c r="B8" s="16" t="str">
        <v>10 friendly records</v>
      </c>
      <c r="C8" s="16" t="str">
        <v>Resize the Notes column and add a highlight to a favorite row.</v>
      </c>
      <c r="D8" s="16" t="n">
        <v>10</v>
      </c>
    </row>
    <row r="9">
      <c r="A9" s="16" t="str">
        <v>Citrus Cart</v>
      </c>
      <c r="B9" s="16" t="str">
        <v>10 friendly records</v>
      </c>
      <c r="C9" s="16" t="str">
        <v>Use Columns to hide Origin and compare Zest Level.</v>
      </c>
      <c r="D9" s="16" t="n">
        <v>10</v>
      </c>
    </row>
    <row r="10">
      <c r="A10" s="16" t="str">
        <v>Herb Window</v>
      </c>
      <c r="B10" s="16" t="str">
        <v>10 friendly records</v>
      </c>
      <c r="C10" s="16" t="str">
        <v>Try vertical tabs, then jump between this sheet and Coffee Shelf.</v>
      </c>
      <c r="D10" s="16" t="n">
        <v>10</v>
      </c>
    </row>
    <row r="11">
      <c r="A11" s="17" t="str">
        <v>Tea Trolley</v>
      </c>
      <c r="B11" s="17" t="str">
        <v>10 friendly records</v>
      </c>
      <c r="C11" s="17" t="str">
        <v>Filter by Style and notice that the workbook itself stays untouched.</v>
      </c>
      <c r="D11" s="17" t="n">
        <v>10</v>
      </c>
    </row>
    <row r="12">
      <c r="A12" s="13"/>
      <c r="B12" s="13"/>
      <c r="C12" s="13"/>
      <c r="D12" s="13"/>
    </row>
  </sheetData>
  <mergeCells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13" hidden="0" customWidth="1"/>
    <col min="4" max="4" width="10.670000076293945" hidden="0" customWidth="1"/>
    <col min="5" max="5" width="5.670000076293945" hidden="0" customWidth="1"/>
    <col min="6" max="6" width="7.440000057220459" hidden="0" customWidth="1"/>
    <col min="7" max="7" width="9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Fruit</v>
      </c>
      <c r="B1" s="25" t="str">
        <v>Variety</v>
      </c>
      <c r="C1" s="25" t="str">
        <v>Color</v>
      </c>
      <c r="D1" s="25" t="str">
        <v>Peak Season</v>
      </c>
      <c r="E1" s="25" t="str">
        <v>Crates</v>
      </c>
      <c r="F1" s="25" t="str">
        <v>Price / lb</v>
      </c>
      <c r="G1" s="25" t="str">
        <v>Sweetness</v>
      </c>
      <c r="H1" s="25" t="str">
        <v>Favorite Pairing</v>
      </c>
      <c r="I1" s="26" t="str">
        <v>Shelf Value</v>
      </c>
    </row>
    <row r="2" ht="15" hidden="0" customHeight="1">
      <c r="A2" s="27" t="str">
        <v>Apple</v>
      </c>
      <c r="B2" s="27" t="str">
        <v>Honeycrisp</v>
      </c>
      <c r="C2" s="27" t="str">
        <v>Blush red</v>
      </c>
      <c r="D2" s="27" t="str">
        <v>Autumn</v>
      </c>
      <c r="E2" s="27" t="n">
        <v>16</v>
      </c>
      <c r="F2" s="30" t="n">
        <v>2.24</v>
      </c>
      <c r="G2" s="27" t="n">
        <v>9</v>
      </c>
      <c r="H2" s="27" t="str">
        <v>Sharp cheddar</v>
      </c>
      <c r="I2" s="36" t="n">
        <f>E2*F2</f>
        <v>35.84</v>
      </c>
    </row>
    <row r="3" ht="15" hidden="0" customHeight="1">
      <c r="A3" s="28" t="str">
        <v>Apple</v>
      </c>
      <c r="B3" s="28" t="str">
        <v>Granny Smith</v>
      </c>
      <c r="C3" s="28" t="str">
        <v>Green</v>
      </c>
      <c r="D3" s="28" t="str">
        <v>Autumn</v>
      </c>
      <c r="E3" s="28" t="n">
        <v>13</v>
      </c>
      <c r="F3" s="31" t="n">
        <v>1.89</v>
      </c>
      <c r="G3" s="28" t="n">
        <v>5</v>
      </c>
      <c r="H3" s="28" t="str">
        <v>Peanut butter</v>
      </c>
      <c r="I3" s="37" t="n">
        <f>E3*F3</f>
        <v>24.57</v>
      </c>
    </row>
    <row r="4" ht="15" hidden="0" customHeight="1">
      <c r="A4" s="28" t="str">
        <v>Pear</v>
      </c>
      <c r="B4" s="28" t="str">
        <v>Comice</v>
      </c>
      <c r="C4" s="28" t="str">
        <v>Pale green</v>
      </c>
      <c r="D4" s="28" t="str">
        <v>Autumn</v>
      </c>
      <c r="E4" s="28" t="n">
        <v>9</v>
      </c>
      <c r="F4" s="31" t="n">
        <v>2.54</v>
      </c>
      <c r="G4" s="28" t="n">
        <v>8</v>
      </c>
      <c r="H4" s="28" t="str">
        <v>Blue cheese</v>
      </c>
      <c r="I4" s="37" t="n">
        <f>E4*F4</f>
        <v>22.86</v>
      </c>
    </row>
    <row r="5" ht="15" hidden="0" customHeight="1">
      <c r="A5" s="28" t="str">
        <v>Peach</v>
      </c>
      <c r="B5" s="28" t="str">
        <v>Elberta</v>
      </c>
      <c r="C5" s="28" t="str">
        <v>Golden pink</v>
      </c>
      <c r="D5" s="28" t="str">
        <v>Summer</v>
      </c>
      <c r="E5" s="28" t="n">
        <v>24</v>
      </c>
      <c r="F5" s="31" t="n">
        <v>2.99</v>
      </c>
      <c r="G5" s="28" t="n">
        <v>9</v>
      </c>
      <c r="H5" s="28" t="str">
        <v>Vanilla yogurt</v>
      </c>
      <c r="I5" s="37" t="n">
        <f>E5*F5</f>
        <v>71.76</v>
      </c>
    </row>
    <row r="6" ht="15" hidden="0" customHeight="1">
      <c r="A6" s="28" t="str">
        <v>Plum</v>
      </c>
      <c r="B6" s="28" t="str">
        <v>Damson</v>
      </c>
      <c r="C6" s="28" t="str">
        <v>Indigo</v>
      </c>
      <c r="D6" s="28" t="str">
        <v>Late summer</v>
      </c>
      <c r="E6" s="28" t="n">
        <v>9</v>
      </c>
      <c r="F6" s="31" t="n">
        <v>3.44</v>
      </c>
      <c r="G6" s="28" t="n">
        <v>6</v>
      </c>
      <c r="H6" s="28" t="str">
        <v>Almond cake</v>
      </c>
      <c r="I6" s="37" t="n">
        <f>E6*F6</f>
        <v>30.96</v>
      </c>
    </row>
    <row r="7" ht="15" hidden="0" customHeight="1">
      <c r="A7" s="28" t="str">
        <v>Mango</v>
      </c>
      <c r="B7" s="28" t="str">
        <v>Ataulfo</v>
      </c>
      <c r="C7" s="28" t="str">
        <v>Sunshine yellow</v>
      </c>
      <c r="D7" s="28" t="str">
        <v>Spring</v>
      </c>
      <c r="E7" s="28" t="n">
        <v>15</v>
      </c>
      <c r="F7" s="31" t="n">
        <v>1.54</v>
      </c>
      <c r="G7" s="28" t="n">
        <v>10</v>
      </c>
      <c r="H7" s="28" t="str">
        <v>Chili and lime</v>
      </c>
      <c r="I7" s="37" t="n">
        <f>E7*F7</f>
        <v>23.1</v>
      </c>
    </row>
    <row r="8" ht="15" hidden="0" customHeight="1">
      <c r="A8" s="28" t="str">
        <v>Kiwi</v>
      </c>
      <c r="B8" s="28" t="str">
        <v>Hayward</v>
      </c>
      <c r="C8" s="28" t="str">
        <v>Brown and green</v>
      </c>
      <c r="D8" s="28" t="str">
        <v>Winter</v>
      </c>
      <c r="E8" s="28" t="n">
        <v>8</v>
      </c>
      <c r="F8" s="31" t="n">
        <v>3.49</v>
      </c>
      <c r="G8" s="28" t="n">
        <v>7</v>
      </c>
      <c r="H8" s="28" t="str">
        <v>Coconut</v>
      </c>
      <c r="I8" s="37" t="n">
        <f>E8*F8</f>
        <v>27.92</v>
      </c>
    </row>
    <row r="9" ht="15" hidden="0" customHeight="1">
      <c r="A9" s="28" t="str">
        <v>Fig</v>
      </c>
      <c r="B9" s="28" t="str">
        <v>Black Mission</v>
      </c>
      <c r="C9" s="28" t="str">
        <v>Purple</v>
      </c>
      <c r="D9" s="28" t="str">
        <v>Late summer</v>
      </c>
      <c r="E9" s="28" t="n">
        <v>7</v>
      </c>
      <c r="F9" s="31" t="n">
        <v>5.24</v>
      </c>
      <c r="G9" s="28" t="n">
        <v>9</v>
      </c>
      <c r="H9" s="28" t="str">
        <v>Goat cheese</v>
      </c>
      <c r="I9" s="37" t="n">
        <f>E9*F9</f>
        <v>36.68</v>
      </c>
    </row>
    <row r="10" ht="15" hidden="0" customHeight="1">
      <c r="A10" s="28" t="str">
        <v>Grape</v>
      </c>
      <c r="B10" s="28" t="str">
        <v>Cotton Candy</v>
      </c>
      <c r="C10" s="28" t="str">
        <v>Green</v>
      </c>
      <c r="D10" s="28" t="str">
        <v>Late summer</v>
      </c>
      <c r="E10" s="28" t="n">
        <v>15</v>
      </c>
      <c r="F10" s="31" t="n">
        <v>3.74</v>
      </c>
      <c r="G10" s="28" t="n">
        <v>10</v>
      </c>
      <c r="H10" s="28" t="str">
        <v>Salted almonds</v>
      </c>
      <c r="I10" s="37" t="n">
        <f>E10*F10</f>
        <v>56.1</v>
      </c>
    </row>
    <row r="11" ht="15" hidden="0" customHeight="1">
      <c r="A11" s="28" t="str">
        <v>Persimmon</v>
      </c>
      <c r="B11" s="28" t="str">
        <v>Fuyu</v>
      </c>
      <c r="C11" s="28" t="str">
        <v>Orange</v>
      </c>
      <c r="D11" s="28" t="str">
        <v>Autumn</v>
      </c>
      <c r="E11" s="28" t="n">
        <v>8</v>
      </c>
      <c r="F11" s="31" t="n">
        <v>2.79</v>
      </c>
      <c r="G11" s="28" t="n">
        <v>8</v>
      </c>
      <c r="H11" s="28" t="str">
        <v>Cinnamon</v>
      </c>
      <c r="I11" s="37" t="n">
        <f>E11*F11</f>
        <v>22.32</v>
      </c>
    </row>
    <row r="12" ht="15" hidden="0" customHeight="1">
      <c r="A12" s="28" t="str">
        <v>Pineapple</v>
      </c>
      <c r="B12" s="28" t="str">
        <v>Sugarloaf</v>
      </c>
      <c r="C12" s="28" t="str">
        <v>Gold and green</v>
      </c>
      <c r="D12" s="28" t="str">
        <v>Year-round</v>
      </c>
      <c r="E12" s="28" t="n">
        <v>11</v>
      </c>
      <c r="F12" s="31" t="n">
        <v>2.64</v>
      </c>
      <c r="G12" s="28" t="n">
        <v>9</v>
      </c>
      <c r="H12" s="28" t="str">
        <v>Mint</v>
      </c>
      <c r="I12" s="37" t="n">
        <f>E12*F12</f>
        <v>29.040000000000003</v>
      </c>
    </row>
    <row r="13" ht="15" hidden="0" customHeight="1">
      <c r="A13" s="28" t="str">
        <v>Papaya</v>
      </c>
      <c r="B13" s="28" t="str">
        <v>Maradol</v>
      </c>
      <c r="C13" s="28" t="str">
        <v>Coral</v>
      </c>
      <c r="D13" s="28" t="str">
        <v>Year-round</v>
      </c>
      <c r="E13" s="28" t="n">
        <v>5</v>
      </c>
      <c r="F13" s="31" t="n">
        <v>1.94</v>
      </c>
      <c r="G13" s="28" t="n">
        <v>8</v>
      </c>
      <c r="H13" s="28" t="str">
        <v>Lime</v>
      </c>
      <c r="I13" s="37" t="n">
        <f>E13*F13</f>
        <v>9.7</v>
      </c>
    </row>
    <row r="14" ht="15" hidden="0" customHeight="1">
      <c r="A14" s="28" t="str">
        <v>Cherry</v>
      </c>
      <c r="B14" s="28" t="str">
        <v>Rainier</v>
      </c>
      <c r="C14" s="28" t="str">
        <v>Golden red</v>
      </c>
      <c r="D14" s="28" t="str">
        <v>Early summer</v>
      </c>
      <c r="E14" s="28" t="n">
        <v>16</v>
      </c>
      <c r="F14" s="31" t="n">
        <v>5.49</v>
      </c>
      <c r="G14" s="28" t="n">
        <v>9</v>
      </c>
      <c r="H14" s="28" t="str">
        <v>Dark chocolate</v>
      </c>
      <c r="I14" s="37" t="n">
        <f>E14*F14</f>
        <v>87.84</v>
      </c>
    </row>
    <row r="15" ht="15" hidden="0" customHeight="1">
      <c r="A15" s="29" t="str">
        <v>Pear</v>
      </c>
      <c r="B15" s="29" t="str">
        <v>Forelle</v>
      </c>
      <c r="C15" s="29" t="str">
        <v>Speckled red</v>
      </c>
      <c r="D15" s="29" t="str">
        <v>Winter</v>
      </c>
      <c r="E15" s="29" t="n">
        <v>8</v>
      </c>
      <c r="F15" s="32" t="n">
        <v>2.34</v>
      </c>
      <c r="G15" s="29" t="n">
        <v>7</v>
      </c>
      <c r="H15" s="29" t="str">
        <v>Toasted walnuts</v>
      </c>
      <c r="I15" s="38" t="n">
        <f>E15*F15</f>
        <v>18.72</v>
      </c>
    </row>
  </sheetData>
  <pageMargins left="0.7" right="0.7" top="0.75" bottom="0.75" header="0.3" footer="0.3"/>
  <tableParts count="1">
    <tablePart xmlns:r="http://schemas.openxmlformats.org/officeDocument/2006/relationships" r:id="R109a98c31ad246fb"/>
  </tableParts>
</worksheet>
</file>

<file path=xl/worksheets/sheet3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9" hidden="0" customWidth="1"/>
    <col min="4" max="4" width="13.890000343322754" hidden="0" customWidth="1"/>
    <col min="5" max="5" width="6.78000020980835" hidden="0" customWidth="1"/>
    <col min="6" max="6" width="11.220000267028809" hidden="0" customWidth="1"/>
    <col min="7" max="7" width="6.21999979019165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Vegetable</v>
      </c>
      <c r="B1" s="25" t="str">
        <v>Variety</v>
      </c>
      <c r="C1" s="25" t="str">
        <v>Family</v>
      </c>
      <c r="D1" s="25" t="str">
        <v>Color</v>
      </c>
      <c r="E1" s="25" t="str">
        <v>Baskets</v>
      </c>
      <c r="F1" s="25" t="str">
        <v>Price / basket</v>
      </c>
      <c r="G1" s="25" t="str">
        <v>Crunch</v>
      </c>
      <c r="H1" s="25" t="str">
        <v>Best Use</v>
      </c>
      <c r="I1" s="26" t="str">
        <v>Shelf Value</v>
      </c>
    </row>
    <row r="2" ht="15" hidden="0" customHeight="1">
      <c r="A2" s="27" t="str">
        <v>Carrot</v>
      </c>
      <c r="B2" s="27" t="str">
        <v>Cosmic Purple</v>
      </c>
      <c r="C2" s="27" t="str">
        <v>Root</v>
      </c>
      <c r="D2" s="27" t="str">
        <v>Purple and orange</v>
      </c>
      <c r="E2" s="27" t="n">
        <v>16</v>
      </c>
      <c r="F2" s="30" t="n">
        <v>5.25</v>
      </c>
      <c r="G2" s="27" t="n">
        <v>9</v>
      </c>
      <c r="H2" s="27" t="str">
        <v>Rainbow slaw</v>
      </c>
      <c r="I2" s="36" t="n">
        <f>E2*F2</f>
        <v>84</v>
      </c>
    </row>
    <row r="3" ht="15" hidden="0" customHeight="1">
      <c r="A3" s="28" t="str">
        <v>Tomato</v>
      </c>
      <c r="B3" s="28" t="str">
        <v>Green Zebra</v>
      </c>
      <c r="C3" s="28" t="str">
        <v>Nightshade</v>
      </c>
      <c r="D3" s="28" t="str">
        <v>Striped green</v>
      </c>
      <c r="E3" s="28" t="n">
        <v>20</v>
      </c>
      <c r="F3" s="31" t="n">
        <v>7.25</v>
      </c>
      <c r="G3" s="28" t="n">
        <v>4</v>
      </c>
      <c r="H3" s="28" t="str">
        <v>Caprese salad</v>
      </c>
      <c r="I3" s="37" t="n">
        <f>E3*F3</f>
        <v>145</v>
      </c>
    </row>
    <row r="4" ht="15" hidden="0" customHeight="1">
      <c r="A4" s="28" t="str">
        <v>Pepper</v>
      </c>
      <c r="B4" s="28" t="str">
        <v>Lunchbox</v>
      </c>
      <c r="C4" s="28" t="str">
        <v>Nightshade</v>
      </c>
      <c r="D4" s="28" t="str">
        <v>Red</v>
      </c>
      <c r="E4" s="28" t="n">
        <v>13</v>
      </c>
      <c r="F4" s="31" t="n">
        <v>7</v>
      </c>
      <c r="G4" s="28" t="n">
        <v>8</v>
      </c>
      <c r="H4" s="28" t="str">
        <v>Snack plate</v>
      </c>
      <c r="I4" s="37" t="n">
        <f>E4*F4</f>
        <v>91</v>
      </c>
    </row>
    <row r="5" ht="15" hidden="0" customHeight="1">
      <c r="A5" s="28" t="str">
        <v>Kale</v>
      </c>
      <c r="B5" s="28" t="str">
        <v>Lacinato</v>
      </c>
      <c r="C5" s="28" t="str">
        <v>Leafy green</v>
      </c>
      <c r="D5" s="28" t="str">
        <v>Blue green</v>
      </c>
      <c r="E5" s="28" t="n">
        <v>11</v>
      </c>
      <c r="F5" s="31" t="n">
        <v>5.25</v>
      </c>
      <c r="G5" s="28" t="n">
        <v>5</v>
      </c>
      <c r="H5" s="28" t="str">
        <v>Lemony salad</v>
      </c>
      <c r="I5" s="37" t="n">
        <f>E5*F5</f>
        <v>57.75</v>
      </c>
    </row>
    <row r="6" ht="15" hidden="0" customHeight="1">
      <c r="A6" s="28" t="str">
        <v>Squash</v>
      </c>
      <c r="B6" s="28" t="str">
        <v>Delicata</v>
      </c>
      <c r="C6" s="28" t="str">
        <v>Gourd</v>
      </c>
      <c r="D6" s="28" t="str">
        <v>Cream and green</v>
      </c>
      <c r="E6" s="28" t="n">
        <v>8</v>
      </c>
      <c r="F6" s="31" t="n">
        <v>8.25</v>
      </c>
      <c r="G6" s="28" t="n">
        <v>6</v>
      </c>
      <c r="H6" s="28" t="str">
        <v>Roasted rings</v>
      </c>
      <c r="I6" s="37" t="n">
        <f>E6*F6</f>
        <v>66</v>
      </c>
    </row>
    <row r="7" ht="15" hidden="0" customHeight="1">
      <c r="A7" s="28" t="str">
        <v>Beet</v>
      </c>
      <c r="B7" s="28" t="str">
        <v>Chioggia</v>
      </c>
      <c r="C7" s="28" t="str">
        <v>Root</v>
      </c>
      <c r="D7" s="28" t="str">
        <v>Candy striped</v>
      </c>
      <c r="E7" s="28" t="n">
        <v>8</v>
      </c>
      <c r="F7" s="31" t="n">
        <v>5.5</v>
      </c>
      <c r="G7" s="28" t="n">
        <v>8</v>
      </c>
      <c r="H7" s="28" t="str">
        <v>Citrus salad</v>
      </c>
      <c r="I7" s="37" t="n">
        <f>E7*F7</f>
        <v>44</v>
      </c>
    </row>
    <row r="8" ht="15" hidden="0" customHeight="1">
      <c r="A8" s="28" t="str">
        <v>Cucumber</v>
      </c>
      <c r="B8" s="28" t="str">
        <v>Lemon</v>
      </c>
      <c r="C8" s="28" t="str">
        <v>Gourd</v>
      </c>
      <c r="D8" s="28" t="str">
        <v>Yellow</v>
      </c>
      <c r="E8" s="28" t="n">
        <v>16</v>
      </c>
      <c r="F8" s="31" t="n">
        <v>4.25</v>
      </c>
      <c r="G8" s="28" t="n">
        <v>10</v>
      </c>
      <c r="H8" s="28" t="str">
        <v>Quick pickles</v>
      </c>
      <c r="I8" s="37" t="n">
        <f>E8*F8</f>
        <v>68</v>
      </c>
    </row>
    <row r="9" ht="15" hidden="0" customHeight="1">
      <c r="A9" s="28" t="str">
        <v>Cauliflower</v>
      </c>
      <c r="B9" s="28" t="str">
        <v>Cheddar</v>
      </c>
      <c r="C9" s="28" t="str">
        <v>Brassica</v>
      </c>
      <c r="D9" s="28" t="str">
        <v>Orange</v>
      </c>
      <c r="E9" s="28" t="n">
        <v>13</v>
      </c>
      <c r="F9" s="31" t="n">
        <v>6.75</v>
      </c>
      <c r="G9" s="28" t="n">
        <v>7</v>
      </c>
      <c r="H9" s="28" t="str">
        <v>Sheet-pan roast</v>
      </c>
      <c r="I9" s="37" t="n">
        <f>E9*F9</f>
        <v>87.75</v>
      </c>
    </row>
    <row r="10" ht="15" hidden="0" customHeight="1">
      <c r="A10" s="28" t="str">
        <v>Eggplant</v>
      </c>
      <c r="B10" s="28" t="str">
        <v>Fairy Tale</v>
      </c>
      <c r="C10" s="28" t="str">
        <v>Nightshade</v>
      </c>
      <c r="D10" s="28" t="str">
        <v>Lavender</v>
      </c>
      <c r="E10" s="28" t="n">
        <v>5</v>
      </c>
      <c r="F10" s="31" t="n">
        <v>7.5</v>
      </c>
      <c r="G10" s="28" t="n">
        <v>5</v>
      </c>
      <c r="H10" s="28" t="str">
        <v>Grilled skewers</v>
      </c>
      <c r="I10" s="37" t="n">
        <f>E10*F10</f>
        <v>37.5</v>
      </c>
    </row>
    <row r="11" ht="15" hidden="0" customHeight="1">
      <c r="A11" s="28" t="str">
        <v>Pea</v>
      </c>
      <c r="B11" s="28" t="str">
        <v>Sugar Snap</v>
      </c>
      <c r="C11" s="28" t="str">
        <v>Legume</v>
      </c>
      <c r="D11" s="28" t="str">
        <v>Green</v>
      </c>
      <c r="E11" s="28" t="n">
        <v>13</v>
      </c>
      <c r="F11" s="31" t="n">
        <v>6</v>
      </c>
      <c r="G11" s="28" t="n">
        <v>10</v>
      </c>
      <c r="H11" s="28" t="str">
        <v>Sesame stir-fry</v>
      </c>
      <c r="I11" s="37" t="n">
        <f>E11*F11</f>
        <v>78</v>
      </c>
    </row>
    <row r="12" ht="15" hidden="0" customHeight="1">
      <c r="A12" s="28" t="str">
        <v>Corn</v>
      </c>
      <c r="B12" s="28" t="str">
        <v>Glass Gem</v>
      </c>
      <c r="C12" s="28" t="str">
        <v>Grass</v>
      </c>
      <c r="D12" s="28" t="str">
        <v>Rainbow</v>
      </c>
      <c r="E12" s="28" t="n">
        <v>6</v>
      </c>
      <c r="F12" s="31" t="n">
        <v>9.75</v>
      </c>
      <c r="G12" s="28" t="n">
        <v>8</v>
      </c>
      <c r="H12" s="28" t="str">
        <v>Table bouquet</v>
      </c>
      <c r="I12" s="37" t="n">
        <f>E12*F12</f>
        <v>58.5</v>
      </c>
    </row>
    <row r="13" ht="15" hidden="0" customHeight="1">
      <c r="A13" s="28" t="str">
        <v>Broccoli</v>
      </c>
      <c r="B13" s="28" t="str">
        <v>Romanesco</v>
      </c>
      <c r="C13" s="28" t="str">
        <v>Brassica</v>
      </c>
      <c r="D13" s="28" t="str">
        <v>Chartreuse</v>
      </c>
      <c r="E13" s="28" t="n">
        <v>9</v>
      </c>
      <c r="F13" s="31" t="n">
        <v>6.75</v>
      </c>
      <c r="G13" s="28" t="n">
        <v>7</v>
      </c>
      <c r="H13" s="28" t="str">
        <v>Garlic roast</v>
      </c>
      <c r="I13" s="37" t="n">
        <f>E13*F13</f>
        <v>60.75</v>
      </c>
    </row>
    <row r="14" ht="15" hidden="0" customHeight="1">
      <c r="A14" s="28" t="str">
        <v>Potato</v>
      </c>
      <c r="B14" s="28" t="str">
        <v>Purple Majesty</v>
      </c>
      <c r="C14" s="28" t="str">
        <v>Root</v>
      </c>
      <c r="D14" s="28" t="str">
        <v>Violet</v>
      </c>
      <c r="E14" s="28" t="n">
        <v>20</v>
      </c>
      <c r="F14" s="31" t="n">
        <v>8.25</v>
      </c>
      <c r="G14" s="28" t="n">
        <v>6</v>
      </c>
      <c r="H14" s="28" t="str">
        <v>Crispy wedges</v>
      </c>
      <c r="I14" s="37" t="n">
        <f>E14*F14</f>
        <v>165</v>
      </c>
    </row>
    <row r="15" ht="15" hidden="0" customHeight="1">
      <c r="A15" s="29" t="str">
        <v>Radish</v>
      </c>
      <c r="B15" s="29" t="str">
        <v>Watermelon</v>
      </c>
      <c r="C15" s="29" t="str">
        <v>Root</v>
      </c>
      <c r="D15" s="29" t="str">
        <v>Pink and green</v>
      </c>
      <c r="E15" s="29" t="n">
        <v>12</v>
      </c>
      <c r="F15" s="32" t="n">
        <v>4.25</v>
      </c>
      <c r="G15" s="29" t="n">
        <v>10</v>
      </c>
      <c r="H15" s="29" t="str">
        <v>Butter toast</v>
      </c>
      <c r="I15" s="38" t="n">
        <f>E15*F15</f>
        <v>51</v>
      </c>
    </row>
  </sheetData>
  <pageMargins left="0.7" right="0.7" top="0.75" bottom="0.75" header="0.3" footer="0.3"/>
  <tableParts count="1">
    <tablePart xmlns:r="http://schemas.openxmlformats.org/officeDocument/2006/relationships" r:id="R954af472e90d4625"/>
  </tableParts>
</worksheet>
</file>

<file path=xl/worksheets/sheet4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6.440000057220459" hidden="0" customWidth="1"/>
    <col min="4" max="4" width="8.109999656677246" hidden="0" customWidth="1"/>
    <col min="5" max="5" width="10.5600004196167" hidden="0" customWidth="1"/>
    <col min="6" max="6" width="4.440000057220459" hidden="0" customWidth="1"/>
    <col min="7" max="7" width="9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Coffee</v>
      </c>
      <c r="B1" s="25" t="str">
        <v>Origin</v>
      </c>
      <c r="C1" s="25" t="str">
        <v>Roast</v>
      </c>
      <c r="D1" s="25" t="str">
        <v>Process</v>
      </c>
      <c r="E1" s="25" t="str">
        <v>Elevation (m)</v>
      </c>
      <c r="F1" s="25" t="str">
        <v>Bags</v>
      </c>
      <c r="G1" s="25" t="str">
        <v>Price / bag</v>
      </c>
      <c r="H1" s="25" t="str">
        <v>Tasting Note</v>
      </c>
      <c r="I1" s="26" t="str">
        <v>Shelf Value</v>
      </c>
    </row>
    <row r="2" ht="15" hidden="0" customHeight="1">
      <c r="A2" s="27" t="str">
        <v>Cloudberry</v>
      </c>
      <c r="B2" s="27" t="str">
        <v>Ethiopia</v>
      </c>
      <c r="C2" s="27" t="str">
        <v>Light</v>
      </c>
      <c r="D2" s="27" t="str">
        <v>Washed</v>
      </c>
      <c r="E2" s="27" t="n">
        <v>2100</v>
      </c>
      <c r="F2" s="27" t="n">
        <v>9</v>
      </c>
      <c r="G2" s="30" t="n">
        <v>18.25</v>
      </c>
      <c r="H2" s="27" t="str">
        <v>Jasmine and lemon</v>
      </c>
      <c r="I2" s="36" t="n">
        <f>F2*G2</f>
        <v>164.25</v>
      </c>
    </row>
    <row r="3" ht="15" hidden="0" customHeight="1">
      <c r="A3" s="28" t="str">
        <v>Red Bicycle</v>
      </c>
      <c r="B3" s="28" t="str">
        <v>Colombia</v>
      </c>
      <c r="C3" s="28" t="str">
        <v>Medium</v>
      </c>
      <c r="D3" s="28" t="str">
        <v>Honey</v>
      </c>
      <c r="E3" s="28" t="n">
        <v>1750</v>
      </c>
      <c r="F3" s="28" t="n">
        <v>13</v>
      </c>
      <c r="G3" s="31" t="n">
        <v>16.75</v>
      </c>
      <c r="H3" s="28" t="str">
        <v>Caramel and plum</v>
      </c>
      <c r="I3" s="37" t="n">
        <f>F3*G3</f>
        <v>217.75</v>
      </c>
    </row>
    <row r="4" ht="15" hidden="0" customHeight="1">
      <c r="A4" s="28" t="str">
        <v>Mossy Lantern</v>
      </c>
      <c r="B4" s="28" t="str">
        <v>Guatemala</v>
      </c>
      <c r="C4" s="28" t="str">
        <v>Medium</v>
      </c>
      <c r="D4" s="28" t="str">
        <v>Washed</v>
      </c>
      <c r="E4" s="28" t="n">
        <v>1650</v>
      </c>
      <c r="F4" s="28" t="n">
        <v>10</v>
      </c>
      <c r="G4" s="31" t="n">
        <v>17.5</v>
      </c>
      <c r="H4" s="28" t="str">
        <v>Cocoa and orange</v>
      </c>
      <c r="I4" s="37" t="n">
        <f>F4*G4</f>
        <v>175</v>
      </c>
    </row>
    <row r="5" ht="15" hidden="0" customHeight="1">
      <c r="A5" s="28" t="str">
        <v>Night Garden</v>
      </c>
      <c r="B5" s="28" t="str">
        <v>Brazil</v>
      </c>
      <c r="C5" s="28" t="str">
        <v>Dark</v>
      </c>
      <c r="D5" s="28" t="str">
        <v>Natural</v>
      </c>
      <c r="E5" s="28" t="n">
        <v>1100</v>
      </c>
      <c r="F5" s="28" t="n">
        <v>13</v>
      </c>
      <c r="G5" s="31" t="n">
        <v>15.5</v>
      </c>
      <c r="H5" s="28" t="str">
        <v>Dark chocolate and pecan</v>
      </c>
      <c r="I5" s="37" t="n">
        <f>F5*G5</f>
        <v>201.5</v>
      </c>
    </row>
    <row r="6" ht="15" hidden="0" customHeight="1">
      <c r="A6" s="28" t="str">
        <v>Blue Teacup</v>
      </c>
      <c r="B6" s="28" t="str">
        <v>Kenya</v>
      </c>
      <c r="C6" s="28" t="str">
        <v>Light</v>
      </c>
      <c r="D6" s="28" t="str">
        <v>Washed</v>
      </c>
      <c r="E6" s="28" t="n">
        <v>1950</v>
      </c>
      <c r="F6" s="28" t="n">
        <v>7</v>
      </c>
      <c r="G6" s="31" t="n">
        <v>20.5</v>
      </c>
      <c r="H6" s="28" t="str">
        <v>Blackcurrant and grapefruit</v>
      </c>
      <c r="I6" s="37" t="n">
        <f>F6*G6</f>
        <v>143.5</v>
      </c>
    </row>
    <row r="7" ht="15" hidden="0" customHeight="1">
      <c r="A7" s="28" t="str">
        <v>Sunday Paper</v>
      </c>
      <c r="B7" s="28" t="str">
        <v>Peru</v>
      </c>
      <c r="C7" s="28" t="str">
        <v>Medium</v>
      </c>
      <c r="D7" s="28" t="str">
        <v>Washed</v>
      </c>
      <c r="E7" s="28" t="n">
        <v>1700</v>
      </c>
      <c r="F7" s="28" t="n">
        <v>11</v>
      </c>
      <c r="G7" s="31" t="n">
        <v>16</v>
      </c>
      <c r="H7" s="28" t="str">
        <v>Nougat and apple</v>
      </c>
      <c r="I7" s="37" t="n">
        <f>F7*G7</f>
        <v>176</v>
      </c>
    </row>
    <row r="8" ht="15" hidden="0" customHeight="1">
      <c r="A8" s="28" t="str">
        <v>Golden Hour</v>
      </c>
      <c r="B8" s="28" t="str">
        <v>Rwanda</v>
      </c>
      <c r="C8" s="28" t="str">
        <v>Light</v>
      </c>
      <c r="D8" s="28" t="str">
        <v>Honey</v>
      </c>
      <c r="E8" s="28" t="n">
        <v>1900</v>
      </c>
      <c r="F8" s="28" t="n">
        <v>7</v>
      </c>
      <c r="G8" s="31" t="n">
        <v>19.75</v>
      </c>
      <c r="H8" s="28" t="str">
        <v>Apricot and black tea</v>
      </c>
      <c r="I8" s="37" t="n">
        <f>F8*G8</f>
        <v>138.25</v>
      </c>
    </row>
    <row r="9" ht="15" hidden="0" customHeight="1">
      <c r="A9" s="28" t="str">
        <v>Velvet Acorn</v>
      </c>
      <c r="B9" s="28" t="str">
        <v>Indonesia</v>
      </c>
      <c r="C9" s="28" t="str">
        <v>Dark</v>
      </c>
      <c r="D9" s="28" t="str">
        <v>Wet hulled</v>
      </c>
      <c r="E9" s="28" t="n">
        <v>1450</v>
      </c>
      <c r="F9" s="28" t="n">
        <v>9</v>
      </c>
      <c r="G9" s="31" t="n">
        <v>17.25</v>
      </c>
      <c r="H9" s="28" t="str">
        <v>Cedar and cocoa nib</v>
      </c>
      <c r="I9" s="37" t="n">
        <f>F9*G9</f>
        <v>155.25</v>
      </c>
    </row>
    <row r="10" ht="15" hidden="0" customHeight="1">
      <c r="A10" s="28" t="str">
        <v>Paper Kite</v>
      </c>
      <c r="B10" s="28" t="str">
        <v>Honduras</v>
      </c>
      <c r="C10" s="28" t="str">
        <v>Medium</v>
      </c>
      <c r="D10" s="28" t="str">
        <v>Washed</v>
      </c>
      <c r="E10" s="28" t="n">
        <v>1550</v>
      </c>
      <c r="F10" s="28" t="n">
        <v>12</v>
      </c>
      <c r="G10" s="31" t="n">
        <v>15.5</v>
      </c>
      <c r="H10" s="28" t="str">
        <v>Brown sugar and pear</v>
      </c>
      <c r="I10" s="37" t="n">
        <f>F10*G10</f>
        <v>186</v>
      </c>
    </row>
    <row r="11" ht="15" hidden="0" customHeight="1">
      <c r="A11" s="28" t="str">
        <v>Little Comet</v>
      </c>
      <c r="B11" s="28" t="str">
        <v>Burundi</v>
      </c>
      <c r="C11" s="28" t="str">
        <v>Light</v>
      </c>
      <c r="D11" s="28" t="str">
        <v>Natural</v>
      </c>
      <c r="E11" s="28" t="n">
        <v>1850</v>
      </c>
      <c r="F11" s="28" t="n">
        <v>4</v>
      </c>
      <c r="G11" s="31" t="n">
        <v>21</v>
      </c>
      <c r="H11" s="28" t="str">
        <v>Raspberry and hibiscus</v>
      </c>
      <c r="I11" s="37" t="n">
        <f>F11*G11</f>
        <v>84</v>
      </c>
    </row>
    <row r="12" ht="15" hidden="0" customHeight="1">
      <c r="A12" s="28" t="str">
        <v>Cozy Socks</v>
      </c>
      <c r="B12" s="28" t="str">
        <v>Mexico</v>
      </c>
      <c r="C12" s="28" t="str">
        <v>Medium</v>
      </c>
      <c r="D12" s="28" t="str">
        <v>Washed</v>
      </c>
      <c r="E12" s="28" t="n">
        <v>1500</v>
      </c>
      <c r="F12" s="28" t="n">
        <v>16</v>
      </c>
      <c r="G12" s="31" t="n">
        <v>15.5</v>
      </c>
      <c r="H12" s="28" t="str">
        <v>Hazelnut and cocoa</v>
      </c>
      <c r="I12" s="37" t="n">
        <f>F12*G12</f>
        <v>248</v>
      </c>
    </row>
    <row r="13" ht="15" hidden="0" customHeight="1">
      <c r="A13" s="28" t="str">
        <v>Porch Swing</v>
      </c>
      <c r="B13" s="28" t="str">
        <v>El Salvador</v>
      </c>
      <c r="C13" s="28" t="str">
        <v>Medium</v>
      </c>
      <c r="D13" s="28" t="str">
        <v>Honey</v>
      </c>
      <c r="E13" s="28" t="n">
        <v>1600</v>
      </c>
      <c r="F13" s="28" t="n">
        <v>11</v>
      </c>
      <c r="G13" s="31" t="n">
        <v>16.25</v>
      </c>
      <c r="H13" s="28" t="str">
        <v>Toffee and cherry</v>
      </c>
      <c r="I13" s="37" t="n">
        <f>F13*G13</f>
        <v>178.75</v>
      </c>
    </row>
    <row r="14" ht="15" hidden="0" customHeight="1">
      <c r="A14" s="28" t="str">
        <v>Moon Rabbit</v>
      </c>
      <c r="B14" s="28" t="str">
        <v>Papua New Guinea</v>
      </c>
      <c r="C14" s="28" t="str">
        <v>Dark</v>
      </c>
      <c r="D14" s="28" t="str">
        <v>Washed</v>
      </c>
      <c r="E14" s="28" t="n">
        <v>1350</v>
      </c>
      <c r="F14" s="28" t="n">
        <v>4</v>
      </c>
      <c r="G14" s="31" t="n">
        <v>18.25</v>
      </c>
      <c r="H14" s="28" t="str">
        <v>Molasses and spice</v>
      </c>
      <c r="I14" s="37" t="n">
        <f>F14*G14</f>
        <v>73</v>
      </c>
    </row>
    <row r="15" ht="15" hidden="0" customHeight="1">
      <c r="A15" s="29" t="str">
        <v>Tiny Umbrella</v>
      </c>
      <c r="B15" s="29" t="str">
        <v>Costa Rica</v>
      </c>
      <c r="C15" s="29" t="str">
        <v>Light</v>
      </c>
      <c r="D15" s="29" t="str">
        <v>Natural</v>
      </c>
      <c r="E15" s="29" t="n">
        <v>1800</v>
      </c>
      <c r="F15" s="29" t="n">
        <v>4</v>
      </c>
      <c r="G15" s="32" t="n">
        <v>18.75</v>
      </c>
      <c r="H15" s="29" t="str">
        <v>Strawberry and vanilla</v>
      </c>
      <c r="I15" s="38" t="n">
        <f>F15*G15</f>
        <v>75</v>
      </c>
    </row>
  </sheetData>
  <pageMargins left="0.7" right="0.7" top="0.75" bottom="0.75" header="0.3" footer="0.3"/>
  <tableParts count="1">
    <tablePart xmlns:r="http://schemas.openxmlformats.org/officeDocument/2006/relationships" r:id="Rf329c709f32346dd"/>
  </tableParts>
</worksheet>
</file>

<file path=xl/worksheets/sheet5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7" hidden="0" customWidth="1"/>
    <col min="4" max="4" width="9.779999732971191" hidden="0" customWidth="1"/>
    <col min="5" max="5" width="6.889999866485596" hidden="0" customWidth="1"/>
    <col min="6" max="6" width="11.4399995803833" hidden="0" customWidth="1"/>
    <col min="7" max="7" width="8.779999732971191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Berry</v>
      </c>
      <c r="B1" s="25" t="str">
        <v>Variety</v>
      </c>
      <c r="C1" s="25" t="str">
        <v>Color</v>
      </c>
      <c r="D1" s="25" t="str">
        <v>Peak Month</v>
      </c>
      <c r="E1" s="25" t="str">
        <v>Punnets</v>
      </c>
      <c r="F1" s="25" t="str">
        <v>Price / punnet</v>
      </c>
      <c r="G1" s="25" t="str">
        <v>Jam Score</v>
      </c>
      <c r="H1" s="25" t="str">
        <v>Notes</v>
      </c>
      <c r="I1" s="26" t="str">
        <v>Shelf Value</v>
      </c>
    </row>
    <row r="2" ht="15" hidden="0" customHeight="1">
      <c r="A2" s="27" t="str">
        <v>Strawberry</v>
      </c>
      <c r="B2" s="27" t="str">
        <v>Mara des Bois</v>
      </c>
      <c r="C2" s="27" t="str">
        <v>Ruby</v>
      </c>
      <c r="D2" s="27" t="str">
        <v>June</v>
      </c>
      <c r="E2" s="27" t="n">
        <v>19</v>
      </c>
      <c r="F2" s="30" t="n">
        <v>4.5</v>
      </c>
      <c r="G2" s="27" t="n">
        <v>9</v>
      </c>
      <c r="H2" s="27" t="str">
        <v>Tiny, fragrant, and charming</v>
      </c>
      <c r="I2" s="36" t="n">
        <f>E2*F2</f>
        <v>85.5</v>
      </c>
    </row>
    <row r="3" ht="15" hidden="0" customHeight="1">
      <c r="A3" s="28" t="str">
        <v>Blueberry</v>
      </c>
      <c r="B3" s="28" t="str">
        <v>Pink Lemonade</v>
      </c>
      <c r="C3" s="28" t="str">
        <v>Rose</v>
      </c>
      <c r="D3" s="28" t="str">
        <v>July</v>
      </c>
      <c r="E3" s="28" t="n">
        <v>11</v>
      </c>
      <c r="F3" s="31" t="n">
        <v>5.25</v>
      </c>
      <c r="G3" s="28" t="n">
        <v>7</v>
      </c>
      <c r="H3" s="28" t="str">
        <v>A genuine pink blueberry</v>
      </c>
      <c r="I3" s="37" t="n">
        <f>E3*F3</f>
        <v>57.75</v>
      </c>
    </row>
    <row r="4" ht="15" hidden="0" customHeight="1">
      <c r="A4" s="28" t="str">
        <v>Raspberry</v>
      </c>
      <c r="B4" s="28" t="str">
        <v>Anne</v>
      </c>
      <c r="C4" s="28" t="str">
        <v>Golden</v>
      </c>
      <c r="D4" s="28" t="str">
        <v>July</v>
      </c>
      <c r="E4" s="28" t="n">
        <v>9</v>
      </c>
      <c r="F4" s="31" t="n">
        <v>5.75</v>
      </c>
      <c r="G4" s="28" t="n">
        <v>8</v>
      </c>
      <c r="H4" s="28" t="str">
        <v>Soft with a honeyed finish</v>
      </c>
      <c r="I4" s="37" t="n">
        <f>E4*F4</f>
        <v>51.75</v>
      </c>
    </row>
    <row r="5" ht="15" hidden="0" customHeight="1">
      <c r="A5" s="28" t="str">
        <v>Gooseberry</v>
      </c>
      <c r="B5" s="28" t="str">
        <v>Hinnonmaki Red</v>
      </c>
      <c r="C5" s="28" t="str">
        <v>Crimson</v>
      </c>
      <c r="D5" s="28" t="str">
        <v>July</v>
      </c>
      <c r="E5" s="28" t="n">
        <v>7</v>
      </c>
      <c r="F5" s="31" t="n">
        <v>6</v>
      </c>
      <c r="G5" s="28" t="n">
        <v>10</v>
      </c>
      <c r="H5" s="28" t="str">
        <v>Tart enough for a splendid pie</v>
      </c>
      <c r="I5" s="37" t="n">
        <f>E5*F5</f>
        <v>42</v>
      </c>
    </row>
    <row r="6" ht="15" hidden="0" customHeight="1">
      <c r="A6" s="28" t="str">
        <v>Currant</v>
      </c>
      <c r="B6" s="28" t="str">
        <v>White Versailles</v>
      </c>
      <c r="C6" s="28" t="str">
        <v>Pearl</v>
      </c>
      <c r="D6" s="28" t="str">
        <v>July</v>
      </c>
      <c r="E6" s="28" t="n">
        <v>7</v>
      </c>
      <c r="F6" s="31" t="n">
        <v>6.5</v>
      </c>
      <c r="G6" s="28" t="n">
        <v>8</v>
      </c>
      <c r="H6" s="28" t="str">
        <v>Translucent little jewels</v>
      </c>
      <c r="I6" s="37" t="n">
        <f>E6*F6</f>
        <v>45.5</v>
      </c>
    </row>
    <row r="7" ht="15" hidden="0" customHeight="1">
      <c r="A7" s="28" t="str">
        <v>Mulberry</v>
      </c>
      <c r="B7" s="28" t="str">
        <v>Pakistan</v>
      </c>
      <c r="C7" s="28" t="str">
        <v>Wine red</v>
      </c>
      <c r="D7" s="28" t="str">
        <v>June</v>
      </c>
      <c r="E7" s="28" t="n">
        <v>7</v>
      </c>
      <c r="F7" s="31" t="n">
        <v>5.5</v>
      </c>
      <c r="G7" s="28" t="n">
        <v>7</v>
      </c>
      <c r="H7" s="28" t="str">
        <v>Long berries; stains with enthusiasm</v>
      </c>
      <c r="I7" s="37" t="n">
        <f>E7*F7</f>
        <v>38.5</v>
      </c>
    </row>
    <row r="8" ht="15" hidden="0" customHeight="1">
      <c r="A8" s="28" t="str">
        <v>Honeyberry</v>
      </c>
      <c r="B8" s="28" t="str">
        <v>Aurora</v>
      </c>
      <c r="C8" s="28" t="str">
        <v>Indigo</v>
      </c>
      <c r="D8" s="28" t="str">
        <v>May</v>
      </c>
      <c r="E8" s="28" t="n">
        <v>6</v>
      </c>
      <c r="F8" s="31" t="n">
        <v>5</v>
      </c>
      <c r="G8" s="28" t="n">
        <v>8</v>
      </c>
      <c r="H8" s="28" t="str">
        <v>Early and pleasantly tangy</v>
      </c>
      <c r="I8" s="37" t="n">
        <f>E8*F8</f>
        <v>30</v>
      </c>
    </row>
    <row r="9" ht="15" hidden="0" customHeight="1">
      <c r="A9" s="28" t="str">
        <v>Boysenberry</v>
      </c>
      <c r="B9" s="28" t="str">
        <v>Thornless</v>
      </c>
      <c r="C9" s="28" t="str">
        <v>Maroon</v>
      </c>
      <c r="D9" s="28" t="str">
        <v>July</v>
      </c>
      <c r="E9" s="28" t="n">
        <v>9</v>
      </c>
      <c r="F9" s="31" t="n">
        <v>5.75</v>
      </c>
      <c r="G9" s="28" t="n">
        <v>9</v>
      </c>
      <c r="H9" s="28" t="str">
        <v>Blackberry-raspberry magic</v>
      </c>
      <c r="I9" s="37" t="n">
        <f>E9*F9</f>
        <v>51.75</v>
      </c>
    </row>
    <row r="10" ht="15" hidden="0" customHeight="1">
      <c r="A10" s="28" t="str">
        <v>Lingonberry</v>
      </c>
      <c r="B10" s="28" t="str">
        <v>Koralle</v>
      </c>
      <c r="C10" s="28" t="str">
        <v>Scarlet</v>
      </c>
      <c r="D10" s="28" t="str">
        <v>September</v>
      </c>
      <c r="E10" s="28" t="n">
        <v>4</v>
      </c>
      <c r="F10" s="31" t="n">
        <v>6.75</v>
      </c>
      <c r="G10" s="28" t="n">
        <v>9</v>
      </c>
      <c r="H10" s="28" t="str">
        <v>Excellent beside pancakes</v>
      </c>
      <c r="I10" s="37" t="n">
        <f>E10*F10</f>
        <v>27</v>
      </c>
    </row>
    <row r="11" ht="15" hidden="0" customHeight="1">
      <c r="A11" s="29" t="str">
        <v>Blackberry</v>
      </c>
      <c r="B11" s="29" t="str">
        <v>Chester</v>
      </c>
      <c r="C11" s="29" t="str">
        <v>Black</v>
      </c>
      <c r="D11" s="29" t="str">
        <v>August</v>
      </c>
      <c r="E11" s="29" t="n">
        <v>12</v>
      </c>
      <c r="F11" s="32" t="n">
        <v>4.25</v>
      </c>
      <c r="G11" s="29" t="n">
        <v>9</v>
      </c>
      <c r="H11" s="29" t="str">
        <v>Nearly thornless canes</v>
      </c>
      <c r="I11" s="38" t="n">
        <f>E11*F11</f>
        <v>51</v>
      </c>
    </row>
  </sheetData>
  <pageMargins left="0.7" right="0.7" top="0.75" bottom="0.75" header="0.3" footer="0.3"/>
  <tableParts count="1">
    <tablePart xmlns:r="http://schemas.openxmlformats.org/officeDocument/2006/relationships" r:id="R2c26156112564df8"/>
  </tableParts>
</worksheet>
</file>

<file path=xl/worksheets/sheet6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11.329999923706055" hidden="0" customWidth="1"/>
    <col min="4" max="4" width="7.889999866485596" hidden="0" customWidth="1"/>
    <col min="5" max="5" width="5.329999923706055" hidden="0" customWidth="1"/>
    <col min="6" max="6" width="8.890000343322754" hidden="0" customWidth="1"/>
    <col min="7" max="7" width="8.4399995803833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Citrus</v>
      </c>
      <c r="B1" s="25" t="str">
        <v>Variety</v>
      </c>
      <c r="C1" s="25" t="str">
        <v>Color</v>
      </c>
      <c r="D1" s="25" t="str">
        <v>Origin</v>
      </c>
      <c r="E1" s="25" t="str">
        <v>Boxes</v>
      </c>
      <c r="F1" s="25" t="str">
        <v>Price / box</v>
      </c>
      <c r="G1" s="25" t="str">
        <v>Zest Level</v>
      </c>
      <c r="H1" s="25" t="str">
        <v>Best Use</v>
      </c>
      <c r="I1" s="26" t="str">
        <v>Shelf Value</v>
      </c>
    </row>
    <row r="2" ht="15" hidden="0" customHeight="1">
      <c r="A2" s="27" t="str">
        <v>Orange</v>
      </c>
      <c r="B2" s="27" t="str">
        <v>Cara Cara</v>
      </c>
      <c r="C2" s="27" t="str">
        <v>Coral</v>
      </c>
      <c r="D2" s="27" t="str">
        <v>Venezuela</v>
      </c>
      <c r="E2" s="27" t="n">
        <v>16</v>
      </c>
      <c r="F2" s="30" t="n">
        <v>17.75</v>
      </c>
      <c r="G2" s="27" t="n">
        <v>7</v>
      </c>
      <c r="H2" s="27" t="str">
        <v>Winter salad</v>
      </c>
      <c r="I2" s="36" t="n">
        <f>E2*F2</f>
        <v>284</v>
      </c>
    </row>
    <row r="3" ht="15" hidden="0" customHeight="1">
      <c r="A3" s="28" t="str">
        <v>Orange</v>
      </c>
      <c r="B3" s="28" t="str">
        <v>Blood Moro</v>
      </c>
      <c r="C3" s="28" t="str">
        <v>Burgundy</v>
      </c>
      <c r="D3" s="28" t="str">
        <v>Italy</v>
      </c>
      <c r="E3" s="28" t="n">
        <v>8</v>
      </c>
      <c r="F3" s="31" t="n">
        <v>20</v>
      </c>
      <c r="G3" s="28" t="n">
        <v>9</v>
      </c>
      <c r="H3" s="28" t="str">
        <v>Ruby marmalade</v>
      </c>
      <c r="I3" s="37" t="n">
        <f>E3*F3</f>
        <v>160</v>
      </c>
    </row>
    <row r="4" ht="15" hidden="0" customHeight="1">
      <c r="A4" s="28" t="str">
        <v>Lemon</v>
      </c>
      <c r="B4" s="28" t="str">
        <v>Meyer</v>
      </c>
      <c r="C4" s="28" t="str">
        <v>Warm yellow</v>
      </c>
      <c r="D4" s="28" t="str">
        <v>China</v>
      </c>
      <c r="E4" s="28" t="n">
        <v>11</v>
      </c>
      <c r="F4" s="31" t="n">
        <v>19.75</v>
      </c>
      <c r="G4" s="28" t="n">
        <v>6</v>
      </c>
      <c r="H4" s="28" t="str">
        <v>Lemon curd</v>
      </c>
      <c r="I4" s="37" t="n">
        <f>E4*F4</f>
        <v>217.25</v>
      </c>
    </row>
    <row r="5" ht="15" hidden="0" customHeight="1">
      <c r="A5" s="28" t="str">
        <v>Mandarin</v>
      </c>
      <c r="B5" s="28" t="str">
        <v>Satsuma</v>
      </c>
      <c r="C5" s="28" t="str">
        <v>Orange</v>
      </c>
      <c r="D5" s="28" t="str">
        <v>Japan</v>
      </c>
      <c r="E5" s="28" t="n">
        <v>17</v>
      </c>
      <c r="F5" s="31" t="n">
        <v>17.5</v>
      </c>
      <c r="G5" s="28" t="n">
        <v>5</v>
      </c>
      <c r="H5" s="28" t="str">
        <v>Pocket snack</v>
      </c>
      <c r="I5" s="37" t="n">
        <f>E5*F5</f>
        <v>297.5</v>
      </c>
    </row>
    <row r="6" ht="15" hidden="0" customHeight="1">
      <c r="A6" s="28" t="str">
        <v>Grapefruit</v>
      </c>
      <c r="B6" s="28" t="str">
        <v>Oro Blanco</v>
      </c>
      <c r="C6" s="28" t="str">
        <v>Pale green</v>
      </c>
      <c r="D6" s="28" t="str">
        <v>California</v>
      </c>
      <c r="E6" s="28" t="n">
        <v>10</v>
      </c>
      <c r="F6" s="31" t="n">
        <v>21.25</v>
      </c>
      <c r="G6" s="28" t="n">
        <v>4</v>
      </c>
      <c r="H6" s="28" t="str">
        <v>Breakfast halves</v>
      </c>
      <c r="I6" s="37" t="n">
        <f>E6*F6</f>
        <v>212.5</v>
      </c>
    </row>
    <row r="7" ht="15" hidden="0" customHeight="1">
      <c r="A7" s="28" t="str">
        <v>Pomelo</v>
      </c>
      <c r="B7" s="28" t="str">
        <v>Chandler</v>
      </c>
      <c r="C7" s="28" t="str">
        <v>Pink</v>
      </c>
      <c r="D7" s="28" t="str">
        <v>California</v>
      </c>
      <c r="E7" s="28" t="n">
        <v>4</v>
      </c>
      <c r="F7" s="31" t="n">
        <v>23.75</v>
      </c>
      <c r="G7" s="28" t="n">
        <v>6</v>
      </c>
      <c r="H7" s="28" t="str">
        <v>Herb salad</v>
      </c>
      <c r="I7" s="37" t="n">
        <f>E7*F7</f>
        <v>95</v>
      </c>
    </row>
    <row r="8" ht="15" hidden="0" customHeight="1">
      <c r="A8" s="28" t="str">
        <v>Kumquat</v>
      </c>
      <c r="B8" s="28" t="str">
        <v>Meiwa</v>
      </c>
      <c r="C8" s="28" t="str">
        <v>Golden orange</v>
      </c>
      <c r="D8" s="28" t="str">
        <v>China</v>
      </c>
      <c r="E8" s="28" t="n">
        <v>6</v>
      </c>
      <c r="F8" s="31" t="n">
        <v>23.5</v>
      </c>
      <c r="G8" s="28" t="n">
        <v>8</v>
      </c>
      <c r="H8" s="28" t="str">
        <v>Whole-fruit candy</v>
      </c>
      <c r="I8" s="37" t="n">
        <f>E8*F8</f>
        <v>141</v>
      </c>
    </row>
    <row r="9" ht="15" hidden="0" customHeight="1">
      <c r="A9" s="28" t="str">
        <v>Yuzu</v>
      </c>
      <c r="B9" s="28" t="str">
        <v>Hon-yuzu</v>
      </c>
      <c r="C9" s="28" t="str">
        <v>Yellow</v>
      </c>
      <c r="D9" s="28" t="str">
        <v>Japan</v>
      </c>
      <c r="E9" s="28" t="n">
        <v>4</v>
      </c>
      <c r="F9" s="31" t="n">
        <v>32.25</v>
      </c>
      <c r="G9" s="28" t="n">
        <v>10</v>
      </c>
      <c r="H9" s="28" t="str">
        <v>Fragrant dressing</v>
      </c>
      <c r="I9" s="37" t="n">
        <f>E9*F9</f>
        <v>129</v>
      </c>
    </row>
    <row r="10" ht="15" hidden="0" customHeight="1">
      <c r="A10" s="28" t="str">
        <v>Citron</v>
      </c>
      <c r="B10" s="28" t="str">
        <v>Buddha’s Hand</v>
      </c>
      <c r="C10" s="28" t="str">
        <v>Lemon yellow</v>
      </c>
      <c r="D10" s="28" t="str">
        <v>India</v>
      </c>
      <c r="E10" s="28" t="n">
        <v>4</v>
      </c>
      <c r="F10" s="31" t="n">
        <v>34.75</v>
      </c>
      <c r="G10" s="28" t="n">
        <v>10</v>
      </c>
      <c r="H10" s="28" t="str">
        <v>Candied peel</v>
      </c>
      <c r="I10" s="37" t="n">
        <f>E10*F10</f>
        <v>139</v>
      </c>
    </row>
    <row r="11" ht="15" hidden="0" customHeight="1">
      <c r="A11" s="29" t="str">
        <v>Lime</v>
      </c>
      <c r="B11" s="29" t="str">
        <v>Finger</v>
      </c>
      <c r="C11" s="29" t="str">
        <v>Green</v>
      </c>
      <c r="D11" s="29" t="str">
        <v>Australia</v>
      </c>
      <c r="E11" s="29" t="n">
        <v>5</v>
      </c>
      <c r="F11" s="32" t="n">
        <v>27.75</v>
      </c>
      <c r="G11" s="29" t="n">
        <v>10</v>
      </c>
      <c r="H11" s="29" t="str">
        <v>Citrus pearls</v>
      </c>
      <c r="I11" s="38" t="n">
        <f>E11*F11</f>
        <v>138.75</v>
      </c>
    </row>
  </sheetData>
  <pageMargins left="0.7" right="0.7" top="0.75" bottom="0.75" header="0.3" footer="0.3"/>
  <tableParts count="1">
    <tablePart xmlns:r="http://schemas.openxmlformats.org/officeDocument/2006/relationships" r:id="Rccf8b69a973b420f"/>
  </tableParts>
</worksheet>
</file>

<file path=xl/worksheets/sheet7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12.5600004196167" hidden="0" customWidth="1"/>
    <col min="4" max="4" width="12.109999656677246" hidden="0" customWidth="1"/>
    <col min="5" max="5" width="4" hidden="0" customWidth="1"/>
    <col min="6" max="6" width="8.5600004196167" hidden="0" customWidth="1"/>
    <col min="7" max="7" width="8.329999923706055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Herb</v>
      </c>
      <c r="B1" s="25" t="str">
        <v>Variety</v>
      </c>
      <c r="C1" s="25" t="str">
        <v>Type</v>
      </c>
      <c r="D1" s="25" t="str">
        <v>Aroma</v>
      </c>
      <c r="E1" s="25" t="str">
        <v>Pots</v>
      </c>
      <c r="F1" s="25" t="str">
        <v>Price / pot</v>
      </c>
      <c r="G1" s="25" t="str">
        <v>Sun</v>
      </c>
      <c r="H1" s="25" t="str">
        <v>Favorite Dish</v>
      </c>
      <c r="I1" s="26" t="str">
        <v>Shelf Value</v>
      </c>
    </row>
    <row r="2" ht="15" hidden="0" customHeight="1">
      <c r="A2" s="27" t="str">
        <v>Basil</v>
      </c>
      <c r="B2" s="27" t="str">
        <v>Lettuce Leaf</v>
      </c>
      <c r="C2" s="27" t="str">
        <v>Annual</v>
      </c>
      <c r="D2" s="27" t="str">
        <v>Sweet clove</v>
      </c>
      <c r="E2" s="27" t="n">
        <v>14</v>
      </c>
      <c r="F2" s="30" t="n">
        <v>4.25</v>
      </c>
      <c r="G2" s="27" t="str">
        <v>Full sun</v>
      </c>
      <c r="H2" s="27" t="str">
        <v>Tomato sandwich</v>
      </c>
      <c r="I2" s="36" t="n">
        <f>E2*F2</f>
        <v>59.5</v>
      </c>
    </row>
    <row r="3" ht="15" hidden="0" customHeight="1">
      <c r="A3" s="28" t="str">
        <v>Mint</v>
      </c>
      <c r="B3" s="28" t="str">
        <v>Chocolate</v>
      </c>
      <c r="C3" s="28" t="str">
        <v>Perennial</v>
      </c>
      <c r="D3" s="28" t="str">
        <v>Cocoa mint</v>
      </c>
      <c r="E3" s="28" t="n">
        <v>8</v>
      </c>
      <c r="F3" s="31" t="n">
        <v>4</v>
      </c>
      <c r="G3" s="28" t="str">
        <v>Part shade</v>
      </c>
      <c r="H3" s="28" t="str">
        <v>Iced coffee</v>
      </c>
      <c r="I3" s="37" t="n">
        <f>E3*F3</f>
        <v>32</v>
      </c>
    </row>
    <row r="4" ht="15" hidden="0" customHeight="1">
      <c r="A4" s="28" t="str">
        <v>Thyme</v>
      </c>
      <c r="B4" s="28" t="str">
        <v>Lemon</v>
      </c>
      <c r="C4" s="28" t="str">
        <v>Perennial</v>
      </c>
      <c r="D4" s="28" t="str">
        <v>Citrus pine</v>
      </c>
      <c r="E4" s="28" t="n">
        <v>12</v>
      </c>
      <c r="F4" s="31" t="n">
        <v>4.5</v>
      </c>
      <c r="G4" s="28" t="str">
        <v>Full sun</v>
      </c>
      <c r="H4" s="28" t="str">
        <v>Roasted carrots</v>
      </c>
      <c r="I4" s="37" t="n">
        <f>E4*F4</f>
        <v>54</v>
      </c>
    </row>
    <row r="5" ht="15" hidden="0" customHeight="1">
      <c r="A5" s="28" t="str">
        <v>Rosemary</v>
      </c>
      <c r="B5" s="28" t="str">
        <v>Barbecue</v>
      </c>
      <c r="C5" s="28" t="str">
        <v>Perennial</v>
      </c>
      <c r="D5" s="28" t="str">
        <v>Resinous</v>
      </c>
      <c r="E5" s="28" t="n">
        <v>13</v>
      </c>
      <c r="F5" s="31" t="n">
        <v>5.5</v>
      </c>
      <c r="G5" s="28" t="str">
        <v>Full sun</v>
      </c>
      <c r="H5" s="28" t="str">
        <v>Crispy potatoes</v>
      </c>
      <c r="I5" s="37" t="n">
        <f>E5*F5</f>
        <v>71.5</v>
      </c>
    </row>
    <row r="6" ht="15" hidden="0" customHeight="1">
      <c r="A6" s="28" t="str">
        <v>Parsley</v>
      </c>
      <c r="B6" s="28" t="str">
        <v>Curly</v>
      </c>
      <c r="C6" s="28" t="str">
        <v>Biennial</v>
      </c>
      <c r="D6" s="28" t="str">
        <v>Fresh green</v>
      </c>
      <c r="E6" s="28" t="n">
        <v>12</v>
      </c>
      <c r="F6" s="31" t="n">
        <v>4</v>
      </c>
      <c r="G6" s="28" t="str">
        <v>Part shade</v>
      </c>
      <c r="H6" s="28" t="str">
        <v>Herby crumbs</v>
      </c>
      <c r="I6" s="37" t="n">
        <f>E6*F6</f>
        <v>48</v>
      </c>
    </row>
    <row r="7" ht="15" hidden="0" customHeight="1">
      <c r="A7" s="28" t="str">
        <v>Chives</v>
      </c>
      <c r="B7" s="28" t="str">
        <v>Garlic</v>
      </c>
      <c r="C7" s="28" t="str">
        <v>Perennial</v>
      </c>
      <c r="D7" s="28" t="str">
        <v>Mild garlic</v>
      </c>
      <c r="E7" s="28" t="n">
        <v>9</v>
      </c>
      <c r="F7" s="31" t="n">
        <v>4</v>
      </c>
      <c r="G7" s="28" t="str">
        <v>Full sun</v>
      </c>
      <c r="H7" s="28" t="str">
        <v>Savory pancakes</v>
      </c>
      <c r="I7" s="37" t="n">
        <f>E7*F7</f>
        <v>36</v>
      </c>
    </row>
    <row r="8" ht="15" hidden="0" customHeight="1">
      <c r="A8" s="28" t="str">
        <v>Dill</v>
      </c>
      <c r="B8" s="28" t="str">
        <v>Bouquet</v>
      </c>
      <c r="C8" s="28" t="str">
        <v>Annual</v>
      </c>
      <c r="D8" s="28" t="str">
        <v>Anise and grass</v>
      </c>
      <c r="E8" s="28" t="n">
        <v>8</v>
      </c>
      <c r="F8" s="31" t="n">
        <v>3.75</v>
      </c>
      <c r="G8" s="28" t="str">
        <v>Full sun</v>
      </c>
      <c r="H8" s="28" t="str">
        <v>Quick pickles</v>
      </c>
      <c r="I8" s="37" t="n">
        <f>E8*F8</f>
        <v>30</v>
      </c>
    </row>
    <row r="9" ht="15" hidden="0" customHeight="1">
      <c r="A9" s="28" t="str">
        <v>Oregano</v>
      </c>
      <c r="B9" s="28" t="str">
        <v>Hot and Spicy</v>
      </c>
      <c r="C9" s="28" t="str">
        <v>Perennial</v>
      </c>
      <c r="D9" s="28" t="str">
        <v>Peppery</v>
      </c>
      <c r="E9" s="28" t="n">
        <v>7</v>
      </c>
      <c r="F9" s="31" t="n">
        <v>5</v>
      </c>
      <c r="G9" s="28" t="str">
        <v>Full sun</v>
      </c>
      <c r="H9" s="28" t="str">
        <v>White bean stew</v>
      </c>
      <c r="I9" s="37" t="n">
        <f>E9*F9</f>
        <v>35</v>
      </c>
    </row>
    <row r="10" ht="15" hidden="0" customHeight="1">
      <c r="A10" s="28" t="str">
        <v>Lavender</v>
      </c>
      <c r="B10" s="28" t="str">
        <v>Munstead</v>
      </c>
      <c r="C10" s="28" t="str">
        <v>Perennial</v>
      </c>
      <c r="D10" s="28" t="str">
        <v>Floral</v>
      </c>
      <c r="E10" s="28" t="n">
        <v>7</v>
      </c>
      <c r="F10" s="31" t="n">
        <v>5.5</v>
      </c>
      <c r="G10" s="28" t="str">
        <v>Full sun</v>
      </c>
      <c r="H10" s="28" t="str">
        <v>Shortbread</v>
      </c>
      <c r="I10" s="37" t="n">
        <f>E10*F10</f>
        <v>38.5</v>
      </c>
    </row>
    <row r="11" ht="15" hidden="0" customHeight="1">
      <c r="A11" s="29" t="str">
        <v>Sage</v>
      </c>
      <c r="B11" s="29" t="str">
        <v>Pineapple</v>
      </c>
      <c r="C11" s="29" t="str">
        <v>Tender perennial</v>
      </c>
      <c r="D11" s="29" t="str">
        <v>Fruity sage</v>
      </c>
      <c r="E11" s="29" t="n">
        <v>8</v>
      </c>
      <c r="F11" s="32" t="n">
        <v>4.75</v>
      </c>
      <c r="G11" s="29" t="str">
        <v>Full sun</v>
      </c>
      <c r="H11" s="29" t="str">
        <v>Peach tea</v>
      </c>
      <c r="I11" s="38" t="n">
        <f>E11*F11</f>
        <v>38</v>
      </c>
    </row>
  </sheetData>
  <pageMargins left="0.7" right="0.7" top="0.75" bottom="0.75" header="0.3" footer="0.3"/>
  <tableParts count="1">
    <tablePart xmlns:r="http://schemas.openxmlformats.org/officeDocument/2006/relationships" r:id="Rfa1e8c750e9a479e"/>
  </tableParts>
</worksheet>
</file>

<file path=xl/worksheets/sheet8.xml><?xml version="1.0" encoding="utf-8"?>
<worksheet xmlns="http://schemas.openxmlformats.org/spreadsheetml/2006/main">
  <sheetFormatPr defaultRowHeight="15"/>
  <cols>
    <col min="1" max="1" width="17" hidden="0" customWidth="1"/>
    <col min="2" max="2" width="18" hidden="0" customWidth="1"/>
    <col min="3" max="3" width="9.4399995803833" hidden="0" customWidth="1"/>
    <col min="4" max="4" width="11.890000343322754" hidden="0" customWidth="1"/>
    <col min="5" max="5" width="3.7799999713897705" hidden="0" customWidth="1"/>
    <col min="6" max="6" width="8" hidden="0" customWidth="1"/>
    <col min="7" max="7" width="7.110000133514404" hidden="0" customWidth="1"/>
    <col min="8" max="8" width="28" hidden="0" customWidth="1"/>
    <col min="9" max="9" width="16" hidden="0" customWidth="1"/>
  </cols>
  <sheetData>
    <row r="1" ht="15" hidden="0" customHeight="1">
      <c r="A1" s="24" t="str">
        <v>Tea</v>
      </c>
      <c r="B1" s="25" t="str">
        <v>Style</v>
      </c>
      <c r="C1" s="25" t="str">
        <v>Origin</v>
      </c>
      <c r="D1" s="25" t="str">
        <v>Oxidation</v>
      </c>
      <c r="E1" s="25" t="str">
        <v>Tins</v>
      </c>
      <c r="F1" s="25" t="str">
        <v>Price / tin</v>
      </c>
      <c r="G1" s="25" t="str">
        <v>Steep °F</v>
      </c>
      <c r="H1" s="25" t="str">
        <v>Companion</v>
      </c>
      <c r="I1" s="26" t="str">
        <v>Shelf Value</v>
      </c>
    </row>
    <row r="2" ht="15" hidden="0" customHeight="1">
      <c r="A2" s="27" t="str">
        <v>Cloud Temple</v>
      </c>
      <c r="B2" s="27" t="str">
        <v>White</v>
      </c>
      <c r="C2" s="27" t="str">
        <v>Fujian</v>
      </c>
      <c r="D2" s="27" t="str">
        <v>Very low</v>
      </c>
      <c r="E2" s="27" t="n">
        <v>6</v>
      </c>
      <c r="F2" s="30" t="n">
        <v>13.25</v>
      </c>
      <c r="G2" s="27" t="n">
        <v>175</v>
      </c>
      <c r="H2" s="27" t="str">
        <v>Pear slices</v>
      </c>
      <c r="I2" s="36" t="n">
        <f>E2*F2</f>
        <v>79.5</v>
      </c>
    </row>
    <row r="3" ht="15" hidden="0" customHeight="1">
      <c r="A3" s="28" t="str">
        <v>Garden Gate</v>
      </c>
      <c r="B3" s="28" t="str">
        <v>Green</v>
      </c>
      <c r="C3" s="28" t="str">
        <v>Zhejiang</v>
      </c>
      <c r="D3" s="28" t="str">
        <v>Low</v>
      </c>
      <c r="E3" s="28" t="n">
        <v>12</v>
      </c>
      <c r="F3" s="31" t="n">
        <v>10.75</v>
      </c>
      <c r="G3" s="28" t="n">
        <v>175</v>
      </c>
      <c r="H3" s="28" t="str">
        <v>Sesame crackers</v>
      </c>
      <c r="I3" s="37" t="n">
        <f>E3*F3</f>
        <v>129</v>
      </c>
    </row>
    <row r="4" ht="15" hidden="0" customHeight="1">
      <c r="A4" s="28" t="str">
        <v>Amber Quilt</v>
      </c>
      <c r="B4" s="28" t="str">
        <v>Oolong</v>
      </c>
      <c r="C4" s="28" t="str">
        <v>Taiwan</v>
      </c>
      <c r="D4" s="28" t="str">
        <v>Medium</v>
      </c>
      <c r="E4" s="28" t="n">
        <v>7</v>
      </c>
      <c r="F4" s="31" t="n">
        <v>15.25</v>
      </c>
      <c r="G4" s="28" t="n">
        <v>195</v>
      </c>
      <c r="H4" s="28" t="str">
        <v>Honey toast</v>
      </c>
      <c r="I4" s="37" t="n">
        <f>E4*F4</f>
        <v>106.75</v>
      </c>
    </row>
    <row r="5" ht="15" hidden="0" customHeight="1">
      <c r="A5" s="28" t="str">
        <v>Tiny Campfire</v>
      </c>
      <c r="B5" s="28" t="str">
        <v>Smoked black</v>
      </c>
      <c r="C5" s="28" t="str">
        <v>Fujian</v>
      </c>
      <c r="D5" s="28" t="str">
        <v>Full</v>
      </c>
      <c r="E5" s="28" t="n">
        <v>3</v>
      </c>
      <c r="F5" s="31" t="n">
        <v>12.25</v>
      </c>
      <c r="G5" s="28" t="n">
        <v>205</v>
      </c>
      <c r="H5" s="28" t="str">
        <v>Sharp cheddar</v>
      </c>
      <c r="I5" s="37" t="n">
        <f>E5*F5</f>
        <v>36.75</v>
      </c>
    </row>
    <row r="6" ht="15" hidden="0" customHeight="1">
      <c r="A6" s="28" t="str">
        <v>Pink Cloud</v>
      </c>
      <c r="B6" s="28" t="str">
        <v>Herbal</v>
      </c>
      <c r="C6" s="28" t="str">
        <v>Egypt</v>
      </c>
      <c r="D6" s="28" t="str">
        <v>None</v>
      </c>
      <c r="E6" s="28" t="n">
        <v>9</v>
      </c>
      <c r="F6" s="31" t="n">
        <v>9</v>
      </c>
      <c r="G6" s="28" t="n">
        <v>205</v>
      </c>
      <c r="H6" s="28" t="str">
        <v>Orange wedges</v>
      </c>
      <c r="I6" s="37" t="n">
        <f>E6*F6</f>
        <v>81</v>
      </c>
    </row>
    <row r="7" ht="15" hidden="0" customHeight="1">
      <c r="A7" s="28" t="str">
        <v>Moss Basket</v>
      </c>
      <c r="B7" s="28" t="str">
        <v>Pu-erh</v>
      </c>
      <c r="C7" s="28" t="str">
        <v>Yunnan</v>
      </c>
      <c r="D7" s="28" t="str">
        <v>Post-fermented</v>
      </c>
      <c r="E7" s="28" t="n">
        <v>4</v>
      </c>
      <c r="F7" s="31" t="n">
        <v>17.25</v>
      </c>
      <c r="G7" s="28" t="n">
        <v>205</v>
      </c>
      <c r="H7" s="28" t="str">
        <v>Dark chocolate</v>
      </c>
      <c r="I7" s="37" t="n">
        <f>E7*F7</f>
        <v>69</v>
      </c>
    </row>
    <row r="8" ht="15" hidden="0" customHeight="1">
      <c r="A8" s="28" t="str">
        <v>Sunday Ribbon</v>
      </c>
      <c r="B8" s="28" t="str">
        <v>Darjeeling</v>
      </c>
      <c r="C8" s="28" t="str">
        <v>India</v>
      </c>
      <c r="D8" s="28" t="str">
        <v>Full</v>
      </c>
      <c r="E8" s="28" t="n">
        <v>9</v>
      </c>
      <c r="F8" s="31" t="n">
        <v>14.25</v>
      </c>
      <c r="G8" s="28" t="n">
        <v>195</v>
      </c>
      <c r="H8" s="28" t="str">
        <v>Madeleines</v>
      </c>
      <c r="I8" s="37" t="n">
        <f>E8*F8</f>
        <v>128.25</v>
      </c>
    </row>
    <row r="9" ht="15" hidden="0" customHeight="1">
      <c r="A9" s="28" t="str">
        <v>Plum Blossom</v>
      </c>
      <c r="B9" s="28" t="str">
        <v>Green</v>
      </c>
      <c r="C9" s="28" t="str">
        <v>Japan</v>
      </c>
      <c r="D9" s="28" t="str">
        <v>Low</v>
      </c>
      <c r="E9" s="28" t="n">
        <v>11</v>
      </c>
      <c r="F9" s="31" t="n">
        <v>12.25</v>
      </c>
      <c r="G9" s="28" t="n">
        <v>165</v>
      </c>
      <c r="H9" s="28" t="str">
        <v>Rice crackers</v>
      </c>
      <c r="I9" s="37" t="n">
        <f>E9*F9</f>
        <v>134.75</v>
      </c>
    </row>
    <row r="10" ht="15" hidden="0" customHeight="1">
      <c r="A10" s="28" t="str">
        <v>Cozy Library</v>
      </c>
      <c r="B10" s="28" t="str">
        <v>Rooibos</v>
      </c>
      <c r="C10" s="28" t="str">
        <v>South Africa</v>
      </c>
      <c r="D10" s="28" t="str">
        <v>None</v>
      </c>
      <c r="E10" s="28" t="n">
        <v>9</v>
      </c>
      <c r="F10" s="31" t="n">
        <v>9</v>
      </c>
      <c r="G10" s="28" t="n">
        <v>205</v>
      </c>
      <c r="H10" s="28" t="str">
        <v>Vanilla cake</v>
      </c>
      <c r="I10" s="37" t="n">
        <f>E10*F10</f>
        <v>81</v>
      </c>
    </row>
    <row r="11" ht="15" hidden="0" customHeight="1">
      <c r="A11" s="29" t="str">
        <v>Rainy Window</v>
      </c>
      <c r="B11" s="29" t="str">
        <v>Black</v>
      </c>
      <c r="C11" s="29" t="str">
        <v>Assam</v>
      </c>
      <c r="D11" s="29" t="str">
        <v>Full</v>
      </c>
      <c r="E11" s="29" t="n">
        <v>16</v>
      </c>
      <c r="F11" s="32" t="n">
        <v>9.25</v>
      </c>
      <c r="G11" s="29" t="n">
        <v>205</v>
      </c>
      <c r="H11" s="29" t="str">
        <v>Oat biscuits</v>
      </c>
      <c r="I11" s="38" t="n">
        <f>E11*F11</f>
        <v>148</v>
      </c>
    </row>
  </sheetData>
  <pageMargins left="0.7" right="0.7" top="0.75" bottom="0.75" header="0.3" footer="0.3"/>
  <tableParts count="1">
    <tablePart xmlns:r="http://schemas.openxmlformats.org/officeDocument/2006/relationships" r:id="R717824ad353f4763"/>
  </tableParts>
</worksheet>
</file>